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c65e09af7e55a2c/Documenten/.Thomas More/Innovator/"/>
    </mc:Choice>
  </mc:AlternateContent>
  <xr:revisionPtr revIDLastSave="546" documentId="11_AD4DB114E441178AC67DF45D1650F312683EDF1B" xr6:coauthVersionLast="47" xr6:coauthVersionMax="47" xr10:uidLastSave="{C99CCE1F-BD03-42D8-AC17-641D963A3088}"/>
  <bookViews>
    <workbookView xWindow="-103" yWindow="-103" windowWidth="27634" windowHeight="16629" activeTab="1" xr2:uid="{00000000-000D-0000-FFFF-FFFF00000000}"/>
  </bookViews>
  <sheets>
    <sheet name="Groep 1" sheetId="3" r:id="rId1"/>
    <sheet name="Groep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3" l="1"/>
  <c r="E30" i="3"/>
  <c r="M28" i="3"/>
  <c r="G28" i="3"/>
  <c r="G28" i="2"/>
  <c r="M28" i="2"/>
  <c r="S28" i="2"/>
  <c r="Q30" i="2"/>
  <c r="K30" i="2"/>
  <c r="E30" i="2"/>
  <c r="R28" i="2"/>
  <c r="Q28" i="2"/>
  <c r="P28" i="2"/>
  <c r="K28" i="3"/>
  <c r="L28" i="3"/>
  <c r="J28" i="3"/>
  <c r="E28" i="3"/>
  <c r="F28" i="3"/>
  <c r="D28" i="3"/>
  <c r="K28" i="2"/>
  <c r="L28" i="2"/>
  <c r="J28" i="2"/>
  <c r="E28" i="2"/>
  <c r="F28" i="2"/>
  <c r="D28" i="2"/>
</calcChain>
</file>

<file path=xl/sharedStrings.xml><?xml version="1.0" encoding="utf-8"?>
<sst xmlns="http://schemas.openxmlformats.org/spreadsheetml/2006/main" count="242" uniqueCount="115">
  <si>
    <t>achternaam</t>
  </si>
  <si>
    <t>voornaam</t>
  </si>
  <si>
    <t>geen taalfouten</t>
  </si>
  <si>
    <t>taalfout maar niet storend</t>
  </si>
  <si>
    <t>storende taalfout</t>
  </si>
  <si>
    <t>Arsen</t>
  </si>
  <si>
    <t>Meysa</t>
  </si>
  <si>
    <t>Aymane</t>
  </si>
  <si>
    <t>Mukhammad</t>
  </si>
  <si>
    <t>Lucas</t>
  </si>
  <si>
    <t>Adam</t>
  </si>
  <si>
    <t>Axl</t>
  </si>
  <si>
    <t>Ines</t>
  </si>
  <si>
    <t>Hajar</t>
  </si>
  <si>
    <t>Gitte</t>
  </si>
  <si>
    <t>Hanna</t>
  </si>
  <si>
    <t>Siraa</t>
  </si>
  <si>
    <t>Stan</t>
  </si>
  <si>
    <t>Louis</t>
  </si>
  <si>
    <t>Yoline</t>
  </si>
  <si>
    <t>Oliver</t>
  </si>
  <si>
    <t>Lentel</t>
  </si>
  <si>
    <t>Mille</t>
  </si>
  <si>
    <t>Winter</t>
  </si>
  <si>
    <t>Amy</t>
  </si>
  <si>
    <t>Estee</t>
  </si>
  <si>
    <t>notitie</t>
  </si>
  <si>
    <t>x</t>
  </si>
  <si>
    <t>onleesbaar antwoord op vraag 2. Vaak 'n' weggelaten op einde van een werkwoord.</t>
  </si>
  <si>
    <t>Maakt geen nieuwe zin of gebruikt geen dubbelpunt.</t>
  </si>
  <si>
    <t>Gebruik komma's, handschrift</t>
  </si>
  <si>
    <t>Onafgwerkte zin. Geen hoofdletter op de eerste zin van een vraag.</t>
  </si>
  <si>
    <t>Één onafgewerkte zin. Schrijft vaak door een schrijflijn wat het moeilijker leesbaar maakt.</t>
  </si>
  <si>
    <t>Lange zin met veel 'en': "en dit en dat en dit nog".</t>
  </si>
  <si>
    <t>"Dan help ik dat mens". Ontbrekende hoofdletters.</t>
  </si>
  <si>
    <t>Zinsbouw</t>
  </si>
  <si>
    <t>Hoofdletters en leestekens op het einde van de zin.</t>
  </si>
  <si>
    <t>Leestekens einde zin.</t>
  </si>
  <si>
    <t>Hoofdletters.</t>
  </si>
  <si>
    <t>Één DT-fout</t>
  </si>
  <si>
    <t>"Een ander's" - Andermans. Leestekens. Voor - Om.</t>
  </si>
  <si>
    <t>Charlie</t>
  </si>
  <si>
    <t>Bob</t>
  </si>
  <si>
    <t>Amine</t>
  </si>
  <si>
    <t>Amir</t>
  </si>
  <si>
    <t>Noor</t>
  </si>
  <si>
    <t>Sam</t>
  </si>
  <si>
    <t>Tykhon</t>
  </si>
  <si>
    <t>Aylene</t>
  </si>
  <si>
    <t>Jules</t>
  </si>
  <si>
    <t>Alexander</t>
  </si>
  <si>
    <t>Alix</t>
  </si>
  <si>
    <t>Lou</t>
  </si>
  <si>
    <t>Zakaria</t>
  </si>
  <si>
    <t>Hadya</t>
  </si>
  <si>
    <t>Sid</t>
  </si>
  <si>
    <t>Madeleine</t>
  </si>
  <si>
    <t>Tuur</t>
  </si>
  <si>
    <t>Annabel</t>
  </si>
  <si>
    <t>Lilly-Roos</t>
  </si>
  <si>
    <t>Yuxi</t>
  </si>
  <si>
    <t>Verstaan - Begrepen.</t>
  </si>
  <si>
    <t>Zinsbouw.</t>
  </si>
  <si>
    <r>
      <t xml:space="preserve">Spaties tussen woorden. Niks - Niets. Goei - Goede. Hoofdletters. Handschrift. </t>
    </r>
    <r>
      <rPr>
        <b/>
        <sz val="11"/>
        <color theme="1"/>
        <rFont val="Calibri"/>
        <family val="2"/>
        <scheme val="minor"/>
      </rPr>
      <t>Dyslexie</t>
    </r>
  </si>
  <si>
    <t>Handschrift.</t>
  </si>
  <si>
    <t>Goeie - Goed.</t>
  </si>
  <si>
    <t>Zinsbouw in één specifieke zin.</t>
  </si>
  <si>
    <t>Één onleesbaar woord. Werkwoord in een zin. Hoofdletter en leestekens.</t>
  </si>
  <si>
    <t>Zinsbouw. Dinges - Dingen.</t>
  </si>
  <si>
    <t>Copiëren - Kopiëren.</t>
  </si>
  <si>
    <t>van jouw - van jou.</t>
  </si>
  <si>
    <t>Één woord vergeten in een zin.</t>
  </si>
  <si>
    <t>insta - instagram</t>
  </si>
  <si>
    <t>test 1 (papier)</t>
  </si>
  <si>
    <t>test 2 (Google Forms)</t>
  </si>
  <si>
    <t>Hoofdletters, onnodige herhaling vorig zinsdeel in nieuwe zin, punt ipv komma gezet.</t>
  </si>
  <si>
    <t>Hoofdletter, spatie (wantsommige).</t>
  </si>
  <si>
    <t>Spatie (hoehet)</t>
  </si>
  <si>
    <t>Komma plaatsen voor 'maar' en bij opsommingen.</t>
  </si>
  <si>
    <t>men bedrijf - mijn bedrijf, hoofdletters, zinsbouw.</t>
  </si>
  <si>
    <t>Zin iets te lang waardoor het moeilijk leest.</t>
  </si>
  <si>
    <t>Dit voorbereid me - Dit bereid me voor</t>
  </si>
  <si>
    <t>Hoofdletters en leestekens</t>
  </si>
  <si>
    <t>Punt ipv komma gebruikt.</t>
  </si>
  <si>
    <t xml:space="preserve">Hoofdletters, zinsbouw, de-het fout, </t>
  </si>
  <si>
    <t>Camila</t>
  </si>
  <si>
    <t>Hoofdletters, zo blijven - ze blijven</t>
  </si>
  <si>
    <t>Begint een derde zin met 'en'.</t>
  </si>
  <si>
    <t>Leestekens, 'gwn' ipv gewoon, 'akward', 'Natw' ipv Natuurwetenschappen.</t>
  </si>
  <si>
    <t>Hoofdletters, leestekens</t>
  </si>
  <si>
    <r>
      <t xml:space="preserve">Hoofdletters, leestekens, advokaat - advocaat, ingeniër - ingenieur, fisyca - fysica, zinbouw. </t>
    </r>
    <r>
      <rPr>
        <b/>
        <sz val="11"/>
        <color theme="1"/>
        <rFont val="Calibri"/>
        <family val="2"/>
        <scheme val="minor"/>
      </rPr>
      <t>Dyslexie</t>
    </r>
  </si>
  <si>
    <t>Dt-fout</t>
  </si>
  <si>
    <t>Hoofdletters</t>
  </si>
  <si>
    <t>De-het fout, hoofdletters, leestekens</t>
  </si>
  <si>
    <t>Komma zetten voor 'maar'</t>
  </si>
  <si>
    <t>Zinsbouw, hoofdletters</t>
  </si>
  <si>
    <t>Zinsbouw (plaatsing werkwoorden, etc.), hoofdletters, 'mss' ipv misschien, de-het fout, interesant ipv interessant.</t>
  </si>
  <si>
    <t xml:space="preserve">Zinsbouw, interpunctie, dt-fouten, </t>
  </si>
  <si>
    <t>Leestekens, hoofdletters, dt-fout</t>
  </si>
  <si>
    <t>hoofdletters, leestekens, zin beginnen met 'en'.</t>
  </si>
  <si>
    <t>Dyslexie.</t>
  </si>
  <si>
    <t>zonne panelen - zonnepanelen, 'aan iets is' - 'aan iets staat', zinsbouw</t>
  </si>
  <si>
    <t xml:space="preserve">fitsenstalling - fietsenstalling, goedzijn - goed zijn, </t>
  </si>
  <si>
    <t xml:space="preserve">gaan - geen, </t>
  </si>
  <si>
    <r>
      <t xml:space="preserve">als eerst - als eerste, wouw - wou, </t>
    </r>
    <r>
      <rPr>
        <b/>
        <sz val="11"/>
        <color theme="1"/>
        <rFont val="Calibri"/>
        <family val="2"/>
        <scheme val="minor"/>
      </rPr>
      <t>Dyslexie</t>
    </r>
  </si>
  <si>
    <t>u - uw, IK - Ik, vergeten van werkwoord</t>
  </si>
  <si>
    <t>test 2 (Google Form)</t>
  </si>
  <si>
    <t>test 3 (Google Form + Taaltool)</t>
  </si>
  <si>
    <t>"dinges", zinsbouw (herhaalde 'en', splitsing van werkwoord)</t>
  </si>
  <si>
    <r>
      <t xml:space="preserve">makten - maakten. </t>
    </r>
    <r>
      <rPr>
        <b/>
        <sz val="11"/>
        <color theme="1"/>
        <rFont val="Calibri"/>
        <family val="2"/>
        <scheme val="minor"/>
      </rPr>
      <t>Dyslexie</t>
    </r>
    <r>
      <rPr>
        <sz val="11"/>
        <color theme="1"/>
        <rFont val="Calibri"/>
        <family val="2"/>
        <scheme val="minor"/>
      </rPr>
      <t xml:space="preserve"> (gebruikt Sprint)</t>
    </r>
  </si>
  <si>
    <t>totaal aantal fouten</t>
  </si>
  <si>
    <t>gemiddelde fout per leerling:</t>
  </si>
  <si>
    <t>totalen:</t>
  </si>
  <si>
    <t>Hoofdletters, zinsbouw (tweedelige zin opsplitsen in twee aparte zinnen door te starten met 'En…').</t>
  </si>
  <si>
    <t>afwezig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</si>
</sst>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3" xfId="0" applyFont="1" applyBorder="1"/>
    <xf numFmtId="0" fontId="0" fillId="0" borderId="6" xfId="0" applyBorder="1"/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3" borderId="4" xfId="0" applyFill="1" applyBorder="1"/>
    <xf numFmtId="0" fontId="0" fillId="3" borderId="5" xfId="0" applyFill="1" applyBorder="1"/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" fillId="0" borderId="5" xfId="0" applyFont="1" applyBorder="1" applyAlignment="1">
      <alignment wrapText="1"/>
    </xf>
    <xf numFmtId="0" fontId="0" fillId="0" borderId="13" xfId="0" quotePrefix="1" applyBorder="1" applyAlignment="1">
      <alignment horizontal="left" vertical="top" wrapText="1"/>
    </xf>
    <xf numFmtId="0" fontId="1" fillId="0" borderId="9" xfId="0" applyFont="1" applyBorder="1"/>
    <xf numFmtId="0" fontId="1" fillId="0" borderId="10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2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A19E-9E2F-447F-83BD-A074ECC122A5}">
  <dimension ref="A2:N30"/>
  <sheetViews>
    <sheetView zoomScale="85" zoomScaleNormal="85" workbookViewId="0">
      <pane xSplit="1" topLeftCell="B1" activePane="topRight" state="frozen"/>
      <selection pane="topRight" activeCell="O33" sqref="O33"/>
    </sheetView>
  </sheetViews>
  <sheetFormatPr defaultRowHeight="14.6" x14ac:dyDescent="0.4"/>
  <cols>
    <col min="1" max="1" width="15.23046875" bestFit="1" customWidth="1"/>
    <col min="2" max="2" width="11.765625" bestFit="1" customWidth="1"/>
    <col min="8" max="8" width="53.15234375" customWidth="1"/>
    <col min="14" max="14" width="50.765625" customWidth="1"/>
  </cols>
  <sheetData>
    <row r="2" spans="1:14" x14ac:dyDescent="0.4">
      <c r="A2" s="2" t="s">
        <v>0</v>
      </c>
      <c r="B2" s="13" t="s">
        <v>1</v>
      </c>
      <c r="D2" s="43" t="s">
        <v>73</v>
      </c>
      <c r="E2" s="44"/>
      <c r="F2" s="3"/>
      <c r="G2" s="3"/>
      <c r="H2" s="4"/>
      <c r="J2" s="43" t="s">
        <v>74</v>
      </c>
      <c r="K2" s="44"/>
      <c r="L2" s="3"/>
      <c r="M2" s="3"/>
      <c r="N2" s="4"/>
    </row>
    <row r="3" spans="1:14" ht="43.75" x14ac:dyDescent="0.4">
      <c r="A3" s="5"/>
      <c r="B3" s="6"/>
      <c r="D3" s="18" t="s">
        <v>2</v>
      </c>
      <c r="E3" s="19" t="s">
        <v>3</v>
      </c>
      <c r="F3" s="19" t="s">
        <v>4</v>
      </c>
      <c r="G3" s="19" t="s">
        <v>110</v>
      </c>
      <c r="H3" s="20" t="s">
        <v>26</v>
      </c>
      <c r="I3" s="1"/>
      <c r="J3" s="18" t="s">
        <v>2</v>
      </c>
      <c r="K3" s="19" t="s">
        <v>3</v>
      </c>
      <c r="L3" s="19" t="s">
        <v>4</v>
      </c>
      <c r="M3" s="19" t="s">
        <v>110</v>
      </c>
      <c r="N3" s="20" t="s">
        <v>26</v>
      </c>
    </row>
    <row r="4" spans="1:14" ht="29.15" x14ac:dyDescent="0.4">
      <c r="A4" s="5"/>
      <c r="B4" s="6" t="s">
        <v>41</v>
      </c>
      <c r="D4" s="7"/>
      <c r="E4" s="8" t="s">
        <v>27</v>
      </c>
      <c r="F4" s="16"/>
      <c r="G4" s="16">
        <v>3</v>
      </c>
      <c r="H4" s="9" t="s">
        <v>67</v>
      </c>
      <c r="J4" s="7" t="s">
        <v>27</v>
      </c>
      <c r="K4" s="8"/>
      <c r="M4" s="40">
        <v>1</v>
      </c>
      <c r="N4" s="23" t="s">
        <v>83</v>
      </c>
    </row>
    <row r="5" spans="1:14" x14ac:dyDescent="0.4">
      <c r="A5" s="5"/>
      <c r="B5" s="6" t="s">
        <v>42</v>
      </c>
      <c r="D5" s="7"/>
      <c r="E5" s="8" t="s">
        <v>27</v>
      </c>
      <c r="F5" s="16"/>
      <c r="G5" s="16">
        <v>1</v>
      </c>
      <c r="H5" s="9" t="s">
        <v>38</v>
      </c>
      <c r="J5" s="7" t="s">
        <v>27</v>
      </c>
      <c r="K5" s="8"/>
      <c r="L5" s="8"/>
      <c r="M5" s="36"/>
      <c r="N5" s="24"/>
    </row>
    <row r="6" spans="1:14" ht="29.15" x14ac:dyDescent="0.4">
      <c r="A6" s="5"/>
      <c r="B6" s="6" t="s">
        <v>43</v>
      </c>
      <c r="D6" s="7"/>
      <c r="E6" s="8" t="s">
        <v>27</v>
      </c>
      <c r="F6" s="16"/>
      <c r="G6" s="16">
        <v>1</v>
      </c>
      <c r="H6" s="9" t="s">
        <v>65</v>
      </c>
      <c r="J6" s="7"/>
      <c r="K6" s="8" t="s">
        <v>27</v>
      </c>
      <c r="L6" s="8"/>
      <c r="M6" s="36">
        <v>2</v>
      </c>
      <c r="N6" s="24" t="s">
        <v>75</v>
      </c>
    </row>
    <row r="7" spans="1:14" x14ac:dyDescent="0.4">
      <c r="A7" s="5"/>
      <c r="B7" s="6" t="s">
        <v>44</v>
      </c>
      <c r="D7" s="7"/>
      <c r="E7" s="8" t="s">
        <v>27</v>
      </c>
      <c r="F7" s="16"/>
      <c r="G7" s="16">
        <v>1</v>
      </c>
      <c r="H7" s="9" t="s">
        <v>70</v>
      </c>
      <c r="J7" s="7"/>
      <c r="K7" s="8" t="s">
        <v>27</v>
      </c>
      <c r="L7" s="8"/>
      <c r="M7" s="36">
        <v>1</v>
      </c>
      <c r="N7" s="24" t="s">
        <v>81</v>
      </c>
    </row>
    <row r="8" spans="1:14" x14ac:dyDescent="0.4">
      <c r="A8" s="5"/>
      <c r="B8" s="6" t="s">
        <v>45</v>
      </c>
      <c r="D8" s="7" t="s">
        <v>27</v>
      </c>
      <c r="E8" s="8"/>
      <c r="F8" s="16"/>
      <c r="G8" s="16"/>
      <c r="H8" s="9"/>
      <c r="J8" s="7" t="s">
        <v>27</v>
      </c>
      <c r="K8" s="8"/>
      <c r="L8" s="8"/>
      <c r="M8" s="36">
        <v>1</v>
      </c>
      <c r="N8" s="24" t="s">
        <v>87</v>
      </c>
    </row>
    <row r="9" spans="1:14" x14ac:dyDescent="0.4">
      <c r="A9" s="5"/>
      <c r="B9" s="6" t="s">
        <v>46</v>
      </c>
      <c r="D9" s="7"/>
      <c r="E9" s="8"/>
      <c r="F9" s="16"/>
      <c r="G9" s="16"/>
      <c r="H9" s="9"/>
      <c r="J9" s="7" t="s">
        <v>27</v>
      </c>
      <c r="K9" s="8"/>
      <c r="L9" s="8"/>
      <c r="M9" s="36"/>
      <c r="N9" s="24"/>
    </row>
    <row r="10" spans="1:14" x14ac:dyDescent="0.4">
      <c r="A10" s="5"/>
      <c r="B10" s="6"/>
      <c r="D10" s="7"/>
      <c r="E10" s="8"/>
      <c r="F10" s="16"/>
      <c r="G10" s="16"/>
      <c r="H10" s="9"/>
      <c r="J10" s="7"/>
      <c r="K10" s="8"/>
      <c r="L10" s="8"/>
      <c r="M10" s="36"/>
      <c r="N10" s="24"/>
    </row>
    <row r="11" spans="1:14" x14ac:dyDescent="0.4">
      <c r="A11" s="5"/>
      <c r="B11" s="6" t="s">
        <v>47</v>
      </c>
      <c r="D11" s="7"/>
      <c r="E11" s="8" t="s">
        <v>27</v>
      </c>
      <c r="F11" s="16"/>
      <c r="G11" s="16">
        <v>1</v>
      </c>
      <c r="H11" s="9" t="s">
        <v>66</v>
      </c>
      <c r="J11" s="7"/>
      <c r="K11" s="8" t="s">
        <v>27</v>
      </c>
      <c r="L11" s="8"/>
      <c r="M11" s="36">
        <v>2</v>
      </c>
      <c r="N11" s="24" t="s">
        <v>76</v>
      </c>
    </row>
    <row r="12" spans="1:14" x14ac:dyDescent="0.4">
      <c r="A12" s="5"/>
      <c r="B12" s="6" t="s">
        <v>48</v>
      </c>
      <c r="D12" s="7"/>
      <c r="E12" s="8" t="s">
        <v>27</v>
      </c>
      <c r="F12" s="16"/>
      <c r="G12" s="16">
        <v>1</v>
      </c>
      <c r="H12" s="9" t="s">
        <v>38</v>
      </c>
      <c r="J12" s="7"/>
      <c r="K12" s="8" t="s">
        <v>27</v>
      </c>
      <c r="L12" s="8"/>
      <c r="M12" s="36">
        <v>2</v>
      </c>
      <c r="N12" s="24" t="s">
        <v>82</v>
      </c>
    </row>
    <row r="13" spans="1:14" x14ac:dyDescent="0.4">
      <c r="A13" s="5"/>
      <c r="B13" s="6" t="s">
        <v>49</v>
      </c>
      <c r="D13" s="7" t="s">
        <v>27</v>
      </c>
      <c r="E13" s="8"/>
      <c r="F13" s="16"/>
      <c r="G13" s="16"/>
      <c r="H13" s="9"/>
      <c r="J13" s="7" t="s">
        <v>27</v>
      </c>
      <c r="K13" s="8"/>
      <c r="L13" s="8"/>
      <c r="M13" s="36"/>
      <c r="N13" s="24"/>
    </row>
    <row r="14" spans="1:14" x14ac:dyDescent="0.4">
      <c r="A14" s="5"/>
      <c r="B14" s="6" t="s">
        <v>50</v>
      </c>
      <c r="D14" s="7" t="s">
        <v>27</v>
      </c>
      <c r="E14" s="8"/>
      <c r="F14" s="16"/>
      <c r="G14" s="16"/>
      <c r="H14" s="9" t="s">
        <v>64</v>
      </c>
      <c r="J14" s="7" t="s">
        <v>27</v>
      </c>
      <c r="K14" s="8"/>
      <c r="L14" s="8"/>
      <c r="M14" s="36">
        <v>1</v>
      </c>
      <c r="N14" s="24" t="s">
        <v>80</v>
      </c>
    </row>
    <row r="15" spans="1:14" x14ac:dyDescent="0.4">
      <c r="A15" s="5"/>
      <c r="B15" s="6" t="s">
        <v>51</v>
      </c>
      <c r="D15" s="7" t="s">
        <v>27</v>
      </c>
      <c r="E15" s="8"/>
      <c r="F15" s="16"/>
      <c r="G15" s="16"/>
      <c r="H15" s="9"/>
      <c r="J15" s="7" t="s">
        <v>27</v>
      </c>
      <c r="K15" s="8"/>
      <c r="L15" s="8"/>
      <c r="M15" s="36"/>
      <c r="N15" s="24"/>
    </row>
    <row r="16" spans="1:14" x14ac:dyDescent="0.4">
      <c r="A16" s="5"/>
      <c r="B16" s="6" t="s">
        <v>52</v>
      </c>
      <c r="D16" s="7" t="s">
        <v>27</v>
      </c>
      <c r="E16" s="8"/>
      <c r="F16" s="16"/>
      <c r="G16" s="16"/>
      <c r="H16" s="9"/>
      <c r="J16" s="7" t="s">
        <v>27</v>
      </c>
      <c r="K16" s="8"/>
      <c r="L16" s="8"/>
      <c r="M16" s="36"/>
      <c r="N16" s="24"/>
    </row>
    <row r="17" spans="1:14" x14ac:dyDescent="0.4">
      <c r="A17" s="5"/>
      <c r="B17" s="6"/>
      <c r="D17" s="7"/>
      <c r="E17" s="8"/>
      <c r="F17" s="16"/>
      <c r="G17" s="16"/>
      <c r="H17" s="9"/>
      <c r="J17" s="7"/>
      <c r="K17" s="8"/>
      <c r="L17" s="8"/>
      <c r="M17" s="36"/>
      <c r="N17" s="24"/>
    </row>
    <row r="18" spans="1:14" x14ac:dyDescent="0.4">
      <c r="A18" s="5"/>
      <c r="B18" s="6" t="s">
        <v>53</v>
      </c>
      <c r="D18" s="7"/>
      <c r="E18" s="8" t="s">
        <v>27</v>
      </c>
      <c r="F18" s="16"/>
      <c r="G18" s="16">
        <v>2</v>
      </c>
      <c r="H18" s="9" t="s">
        <v>68</v>
      </c>
      <c r="J18" s="7"/>
      <c r="K18" s="8" t="s">
        <v>27</v>
      </c>
      <c r="L18" s="8"/>
      <c r="M18" s="36">
        <v>3</v>
      </c>
      <c r="N18" s="24" t="s">
        <v>79</v>
      </c>
    </row>
    <row r="19" spans="1:14" x14ac:dyDescent="0.4">
      <c r="A19" s="5"/>
      <c r="B19" s="6" t="s">
        <v>54</v>
      </c>
      <c r="D19" s="7"/>
      <c r="E19" s="8" t="s">
        <v>27</v>
      </c>
      <c r="F19" s="16"/>
      <c r="G19" s="16">
        <v>1</v>
      </c>
      <c r="H19" s="9" t="s">
        <v>61</v>
      </c>
      <c r="J19" s="7" t="s">
        <v>27</v>
      </c>
      <c r="K19" s="8"/>
      <c r="L19" s="8"/>
      <c r="M19" s="36"/>
      <c r="N19" s="24"/>
    </row>
    <row r="20" spans="1:14" x14ac:dyDescent="0.4">
      <c r="A20" s="5"/>
      <c r="B20" s="6"/>
      <c r="D20" s="7"/>
      <c r="E20" s="8"/>
      <c r="F20" s="16"/>
      <c r="G20" s="16"/>
      <c r="H20" s="9"/>
      <c r="J20" s="7"/>
      <c r="K20" s="8"/>
      <c r="L20" s="8"/>
      <c r="M20" s="36"/>
      <c r="N20" s="24"/>
    </row>
    <row r="21" spans="1:14" ht="29.15" x14ac:dyDescent="0.4">
      <c r="A21" s="5"/>
      <c r="B21" s="6" t="s">
        <v>55</v>
      </c>
      <c r="D21" s="7"/>
      <c r="E21" s="8" t="s">
        <v>27</v>
      </c>
      <c r="F21" s="16"/>
      <c r="G21" s="16">
        <v>1</v>
      </c>
      <c r="H21" s="9" t="s">
        <v>71</v>
      </c>
      <c r="J21" s="7"/>
      <c r="K21" s="8" t="s">
        <v>27</v>
      </c>
      <c r="L21" s="8"/>
      <c r="M21" s="36">
        <v>2</v>
      </c>
      <c r="N21" s="24" t="s">
        <v>113</v>
      </c>
    </row>
    <row r="22" spans="1:14" x14ac:dyDescent="0.4">
      <c r="A22" s="5"/>
      <c r="B22" s="6" t="s">
        <v>56</v>
      </c>
      <c r="D22" s="7" t="s">
        <v>27</v>
      </c>
      <c r="E22" s="8"/>
      <c r="F22" s="16"/>
      <c r="G22" s="16">
        <v>1</v>
      </c>
      <c r="H22" s="9" t="s">
        <v>72</v>
      </c>
      <c r="J22" s="7"/>
      <c r="K22" s="8" t="s">
        <v>27</v>
      </c>
      <c r="L22" s="8"/>
      <c r="M22" s="36">
        <v>2</v>
      </c>
      <c r="N22" s="24" t="s">
        <v>86</v>
      </c>
    </row>
    <row r="23" spans="1:14" x14ac:dyDescent="0.4">
      <c r="A23" s="5"/>
      <c r="B23" s="6" t="s">
        <v>57</v>
      </c>
      <c r="D23" s="7"/>
      <c r="E23" s="8" t="s">
        <v>27</v>
      </c>
      <c r="F23" s="16"/>
      <c r="G23" s="16">
        <v>1</v>
      </c>
      <c r="H23" s="9" t="s">
        <v>69</v>
      </c>
      <c r="J23" s="7"/>
      <c r="K23" s="8" t="s">
        <v>27</v>
      </c>
      <c r="L23" s="8"/>
      <c r="M23" s="36">
        <v>1</v>
      </c>
      <c r="N23" s="24" t="s">
        <v>77</v>
      </c>
    </row>
    <row r="24" spans="1:14" x14ac:dyDescent="0.4">
      <c r="A24" s="5"/>
      <c r="B24" s="6" t="s">
        <v>85</v>
      </c>
      <c r="D24" s="7"/>
      <c r="E24" s="8" t="s">
        <v>27</v>
      </c>
      <c r="F24" s="16"/>
      <c r="G24" s="16">
        <v>1</v>
      </c>
      <c r="H24" s="9" t="s">
        <v>62</v>
      </c>
      <c r="J24" s="7"/>
      <c r="K24" s="8" t="s">
        <v>27</v>
      </c>
      <c r="L24" s="8"/>
      <c r="M24" s="36">
        <v>3</v>
      </c>
      <c r="N24" s="24" t="s">
        <v>84</v>
      </c>
    </row>
    <row r="25" spans="1:14" x14ac:dyDescent="0.4">
      <c r="A25" s="21"/>
      <c r="B25" s="22" t="s">
        <v>58</v>
      </c>
      <c r="D25" s="7"/>
      <c r="E25" s="8"/>
      <c r="F25" s="16"/>
      <c r="G25" s="16"/>
      <c r="H25" s="29" t="s">
        <v>100</v>
      </c>
      <c r="J25" s="7" t="s">
        <v>27</v>
      </c>
      <c r="K25" s="8"/>
      <c r="L25" s="8"/>
      <c r="M25" s="36">
        <v>1</v>
      </c>
      <c r="N25" s="24" t="s">
        <v>109</v>
      </c>
    </row>
    <row r="26" spans="1:14" x14ac:dyDescent="0.4">
      <c r="A26" s="5"/>
      <c r="B26" s="6" t="s">
        <v>59</v>
      </c>
      <c r="D26" s="7" t="s">
        <v>27</v>
      </c>
      <c r="E26" s="8"/>
      <c r="F26" s="16"/>
      <c r="G26" s="16"/>
      <c r="H26" s="9"/>
      <c r="J26" s="7" t="s">
        <v>27</v>
      </c>
      <c r="K26" s="8"/>
      <c r="L26" s="8"/>
      <c r="M26" s="36">
        <v>1</v>
      </c>
      <c r="N26" s="24" t="s">
        <v>78</v>
      </c>
    </row>
    <row r="27" spans="1:14" x14ac:dyDescent="0.4">
      <c r="A27" s="14"/>
      <c r="B27" s="15" t="s">
        <v>60</v>
      </c>
      <c r="D27" s="10" t="s">
        <v>27</v>
      </c>
      <c r="E27" s="11"/>
      <c r="F27" s="17"/>
      <c r="G27" s="17"/>
      <c r="H27" s="12"/>
      <c r="J27" s="10" t="s">
        <v>27</v>
      </c>
      <c r="K27" s="11"/>
      <c r="L27" s="11"/>
      <c r="M27" s="37"/>
      <c r="N27" s="25"/>
    </row>
    <row r="28" spans="1:14" x14ac:dyDescent="0.4">
      <c r="D28">
        <f>COUNTA(D4:D27)</f>
        <v>8</v>
      </c>
      <c r="E28">
        <f t="shared" ref="E28:F28" si="0">COUNTA(E4:E27)</f>
        <v>11</v>
      </c>
      <c r="F28">
        <f t="shared" si="0"/>
        <v>0</v>
      </c>
      <c r="G28" s="38">
        <f>SUM(G4:G27)</f>
        <v>15</v>
      </c>
      <c r="J28">
        <f t="shared" ref="J28" si="1">COUNTA(J4:J27)</f>
        <v>12</v>
      </c>
      <c r="K28">
        <f t="shared" ref="K28" si="2">COUNTA(K4:K27)</f>
        <v>9</v>
      </c>
      <c r="L28">
        <f t="shared" ref="L28" si="3">COUNTA(L4:L27)</f>
        <v>0</v>
      </c>
      <c r="M28" s="38">
        <f>SUM(M4:M27)</f>
        <v>23</v>
      </c>
    </row>
    <row r="30" spans="1:14" ht="58.3" x14ac:dyDescent="0.4">
      <c r="D30" s="33" t="s">
        <v>111</v>
      </c>
      <c r="E30" s="34">
        <f>SUM(G4:G27)/21</f>
        <v>0.7142857142857143</v>
      </c>
      <c r="J30" s="33" t="s">
        <v>111</v>
      </c>
      <c r="K30" s="34">
        <f>SUM(M4:M27)/21</f>
        <v>1.0952380952380953</v>
      </c>
    </row>
  </sheetData>
  <mergeCells count="2">
    <mergeCell ref="D2:E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747F-D5C9-42DD-A3C8-A58DAB8ABB22}">
  <dimension ref="A2:T30"/>
  <sheetViews>
    <sheetView tabSelected="1" zoomScale="85" zoomScaleNormal="85" workbookViewId="0">
      <pane xSplit="1" topLeftCell="B1" activePane="topRight" state="frozen"/>
      <selection pane="topRight" activeCell="H15" sqref="H15"/>
    </sheetView>
  </sheetViews>
  <sheetFormatPr defaultRowHeight="14.6" x14ac:dyDescent="0.4"/>
  <cols>
    <col min="1" max="1" width="15.23046875" bestFit="1" customWidth="1"/>
    <col min="2" max="2" width="11.765625" bestFit="1" customWidth="1"/>
    <col min="4" max="4" width="12.3046875" bestFit="1" customWidth="1"/>
    <col min="8" max="8" width="53.15234375" customWidth="1"/>
    <col min="14" max="14" width="50.765625" customWidth="1"/>
    <col min="16" max="16" width="13" customWidth="1"/>
    <col min="17" max="17" width="8.765625" bestFit="1" customWidth="1"/>
    <col min="18" max="18" width="8.23046875" bestFit="1" customWidth="1"/>
    <col min="19" max="19" width="8.23046875" customWidth="1"/>
    <col min="20" max="20" width="73.3046875" customWidth="1"/>
  </cols>
  <sheetData>
    <row r="2" spans="1:20" x14ac:dyDescent="0.4">
      <c r="A2" s="2" t="s">
        <v>0</v>
      </c>
      <c r="B2" s="13" t="s">
        <v>1</v>
      </c>
      <c r="D2" s="41" t="s">
        <v>73</v>
      </c>
      <c r="E2" s="42"/>
      <c r="F2" s="3"/>
      <c r="G2" s="3"/>
      <c r="H2" s="4"/>
      <c r="J2" s="41" t="s">
        <v>106</v>
      </c>
      <c r="K2" s="42"/>
      <c r="L2" s="3"/>
      <c r="M2" s="3"/>
      <c r="N2" s="4"/>
      <c r="P2" s="31" t="s">
        <v>107</v>
      </c>
      <c r="Q2" s="32"/>
      <c r="R2" s="3"/>
      <c r="S2" s="3"/>
      <c r="T2" s="4"/>
    </row>
    <row r="3" spans="1:20" ht="43.75" x14ac:dyDescent="0.4">
      <c r="A3" s="5"/>
      <c r="B3" s="6"/>
      <c r="D3" s="18" t="s">
        <v>2</v>
      </c>
      <c r="E3" s="19" t="s">
        <v>3</v>
      </c>
      <c r="F3" s="19" t="s">
        <v>4</v>
      </c>
      <c r="G3" s="19" t="s">
        <v>110</v>
      </c>
      <c r="H3" s="20" t="s">
        <v>26</v>
      </c>
      <c r="I3" s="1"/>
      <c r="J3" s="18" t="s">
        <v>2</v>
      </c>
      <c r="K3" s="19" t="s">
        <v>3</v>
      </c>
      <c r="L3" s="19" t="s">
        <v>4</v>
      </c>
      <c r="M3" s="19" t="s">
        <v>110</v>
      </c>
      <c r="N3" s="20" t="s">
        <v>26</v>
      </c>
      <c r="P3" s="18" t="s">
        <v>2</v>
      </c>
      <c r="Q3" s="19" t="s">
        <v>3</v>
      </c>
      <c r="R3" s="19" t="s">
        <v>4</v>
      </c>
      <c r="S3" s="19" t="s">
        <v>110</v>
      </c>
      <c r="T3" s="20" t="s">
        <v>26</v>
      </c>
    </row>
    <row r="4" spans="1:20" x14ac:dyDescent="0.4">
      <c r="A4" s="5"/>
      <c r="B4" s="6"/>
      <c r="D4" s="5"/>
      <c r="F4" s="6"/>
      <c r="G4" s="6"/>
      <c r="H4" s="6"/>
      <c r="J4" s="5"/>
      <c r="M4" s="35"/>
      <c r="N4" s="26"/>
      <c r="P4" s="5"/>
      <c r="S4" s="35"/>
      <c r="T4" s="26"/>
    </row>
    <row r="5" spans="1:20" x14ac:dyDescent="0.4">
      <c r="A5" s="5"/>
      <c r="B5" s="6" t="s">
        <v>5</v>
      </c>
      <c r="D5" s="7"/>
      <c r="E5" s="8" t="s">
        <v>27</v>
      </c>
      <c r="F5" s="16"/>
      <c r="G5" s="16">
        <v>2</v>
      </c>
      <c r="H5" s="9" t="s">
        <v>30</v>
      </c>
      <c r="J5" s="7" t="s">
        <v>27</v>
      </c>
      <c r="K5" s="8"/>
      <c r="L5" s="8"/>
      <c r="M5" s="36"/>
      <c r="N5" s="27"/>
      <c r="P5" s="7" t="s">
        <v>27</v>
      </c>
      <c r="Q5" s="8"/>
      <c r="R5" s="8"/>
      <c r="S5" s="36"/>
      <c r="T5" s="27"/>
    </row>
    <row r="6" spans="1:20" ht="29.15" x14ac:dyDescent="0.4">
      <c r="A6" s="5"/>
      <c r="B6" s="6" t="s">
        <v>6</v>
      </c>
      <c r="D6" s="7"/>
      <c r="E6" s="8" t="s">
        <v>27</v>
      </c>
      <c r="F6" s="16"/>
      <c r="G6" s="16">
        <v>2</v>
      </c>
      <c r="H6" s="9" t="s">
        <v>31</v>
      </c>
      <c r="J6" s="7"/>
      <c r="K6" s="8" t="s">
        <v>27</v>
      </c>
      <c r="L6" s="8"/>
      <c r="M6" s="36">
        <v>1</v>
      </c>
      <c r="N6" s="27" t="s">
        <v>92</v>
      </c>
      <c r="P6" s="7" t="s">
        <v>27</v>
      </c>
      <c r="Q6" s="8"/>
      <c r="R6" s="8"/>
      <c r="S6" s="36"/>
      <c r="T6" s="27"/>
    </row>
    <row r="7" spans="1:20" x14ac:dyDescent="0.4">
      <c r="A7" s="5"/>
      <c r="B7" s="6" t="s">
        <v>7</v>
      </c>
      <c r="D7" s="7" t="s">
        <v>27</v>
      </c>
      <c r="E7" s="8"/>
      <c r="F7" s="16"/>
      <c r="G7" s="16"/>
      <c r="H7" s="9"/>
      <c r="J7" s="7"/>
      <c r="K7" s="8"/>
      <c r="L7" s="8"/>
      <c r="M7" s="36"/>
      <c r="N7" s="27"/>
      <c r="P7" s="7" t="s">
        <v>27</v>
      </c>
      <c r="Q7" s="8"/>
      <c r="R7" s="8"/>
      <c r="S7" s="36"/>
      <c r="T7" s="27"/>
    </row>
    <row r="8" spans="1:20" x14ac:dyDescent="0.4">
      <c r="A8" s="5"/>
      <c r="B8" s="6" t="s">
        <v>8</v>
      </c>
      <c r="D8" s="7"/>
      <c r="E8" s="8" t="s">
        <v>27</v>
      </c>
      <c r="F8" s="16"/>
      <c r="G8" s="16">
        <v>1</v>
      </c>
      <c r="H8" s="9" t="s">
        <v>35</v>
      </c>
      <c r="J8" s="7"/>
      <c r="K8" s="8" t="s">
        <v>27</v>
      </c>
      <c r="L8" s="8"/>
      <c r="M8" s="36">
        <v>3</v>
      </c>
      <c r="N8" s="27" t="s">
        <v>93</v>
      </c>
      <c r="P8" s="7"/>
      <c r="Q8" s="8" t="s">
        <v>27</v>
      </c>
      <c r="R8" s="8"/>
      <c r="S8" s="36">
        <v>2</v>
      </c>
      <c r="T8" s="30" t="s">
        <v>108</v>
      </c>
    </row>
    <row r="9" spans="1:20" x14ac:dyDescent="0.4">
      <c r="A9" s="5"/>
      <c r="B9" s="6" t="s">
        <v>9</v>
      </c>
      <c r="D9" s="5"/>
      <c r="E9" s="8" t="s">
        <v>27</v>
      </c>
      <c r="F9" s="16"/>
      <c r="G9" s="16">
        <v>1</v>
      </c>
      <c r="H9" s="9" t="s">
        <v>33</v>
      </c>
      <c r="J9" s="7"/>
      <c r="K9" s="8" t="s">
        <v>27</v>
      </c>
      <c r="L9" s="8"/>
      <c r="M9" s="36">
        <v>2</v>
      </c>
      <c r="N9" s="27" t="s">
        <v>89</v>
      </c>
      <c r="P9" s="7" t="s">
        <v>27</v>
      </c>
      <c r="Q9" s="8"/>
      <c r="R9" s="8"/>
      <c r="S9" s="36"/>
      <c r="T9" s="27"/>
    </row>
    <row r="10" spans="1:20" x14ac:dyDescent="0.4">
      <c r="A10" s="5"/>
      <c r="B10" s="6" t="s">
        <v>10</v>
      </c>
      <c r="D10" s="7"/>
      <c r="E10" s="8" t="s">
        <v>27</v>
      </c>
      <c r="F10" s="16"/>
      <c r="G10" s="16">
        <v>2</v>
      </c>
      <c r="H10" s="9" t="s">
        <v>34</v>
      </c>
      <c r="J10" s="7"/>
      <c r="K10" s="8"/>
      <c r="L10" s="8"/>
      <c r="M10" s="36">
        <v>3</v>
      </c>
      <c r="N10" s="27" t="s">
        <v>97</v>
      </c>
      <c r="P10" s="7"/>
      <c r="Q10" s="8" t="s">
        <v>27</v>
      </c>
      <c r="R10" s="8"/>
      <c r="S10" s="36">
        <v>3</v>
      </c>
      <c r="T10" s="27" t="s">
        <v>101</v>
      </c>
    </row>
    <row r="11" spans="1:20" ht="29.15" x14ac:dyDescent="0.4">
      <c r="A11" s="5"/>
      <c r="B11" s="6" t="s">
        <v>11</v>
      </c>
      <c r="D11" s="7"/>
      <c r="E11" s="8" t="s">
        <v>27</v>
      </c>
      <c r="F11" s="16"/>
      <c r="G11" s="16">
        <v>2</v>
      </c>
      <c r="H11" s="9" t="s">
        <v>36</v>
      </c>
      <c r="J11" s="7"/>
      <c r="K11" s="8"/>
      <c r="L11" s="8" t="s">
        <v>27</v>
      </c>
      <c r="M11" s="36">
        <v>5</v>
      </c>
      <c r="N11" s="27" t="s">
        <v>96</v>
      </c>
      <c r="P11" s="7"/>
      <c r="Q11" s="8" t="s">
        <v>27</v>
      </c>
      <c r="R11" s="8"/>
      <c r="S11" s="36">
        <v>2</v>
      </c>
      <c r="T11" s="27" t="s">
        <v>102</v>
      </c>
    </row>
    <row r="12" spans="1:20" x14ac:dyDescent="0.4">
      <c r="A12" s="5"/>
      <c r="B12" s="6"/>
      <c r="D12" s="7"/>
      <c r="E12" s="8"/>
      <c r="F12" s="16"/>
      <c r="G12" s="16"/>
      <c r="H12" s="9"/>
      <c r="J12" s="7"/>
      <c r="K12" s="8"/>
      <c r="L12" s="8"/>
      <c r="M12" s="36"/>
      <c r="N12" s="27"/>
      <c r="P12" s="7"/>
      <c r="Q12" s="8"/>
      <c r="R12" s="8"/>
      <c r="S12" s="36"/>
      <c r="T12" s="27"/>
    </row>
    <row r="13" spans="1:20" x14ac:dyDescent="0.4">
      <c r="A13" s="5"/>
      <c r="B13" s="6" t="s">
        <v>12</v>
      </c>
      <c r="D13" s="7" t="s">
        <v>27</v>
      </c>
      <c r="E13" s="8"/>
      <c r="F13" s="16"/>
      <c r="G13" s="16">
        <v>1</v>
      </c>
      <c r="H13" s="9" t="s">
        <v>37</v>
      </c>
      <c r="J13" s="7"/>
      <c r="K13" s="8" t="s">
        <v>27</v>
      </c>
      <c r="L13" s="8"/>
      <c r="M13" s="36">
        <v>3</v>
      </c>
      <c r="N13" s="27" t="s">
        <v>98</v>
      </c>
      <c r="P13" s="7" t="s">
        <v>27</v>
      </c>
      <c r="Q13" s="8"/>
      <c r="R13" s="8"/>
      <c r="S13" s="36"/>
      <c r="T13" s="27"/>
    </row>
    <row r="14" spans="1:20" x14ac:dyDescent="0.4">
      <c r="A14" s="5"/>
      <c r="B14" s="6" t="s">
        <v>13</v>
      </c>
      <c r="D14" s="7" t="s">
        <v>27</v>
      </c>
      <c r="E14" s="8"/>
      <c r="F14" s="16"/>
      <c r="G14" s="16">
        <v>1</v>
      </c>
      <c r="H14" s="9" t="s">
        <v>38</v>
      </c>
      <c r="J14" s="7"/>
      <c r="K14" s="8"/>
      <c r="L14" s="8"/>
      <c r="M14" s="36"/>
      <c r="N14" s="27"/>
      <c r="P14" s="7" t="s">
        <v>27</v>
      </c>
      <c r="Q14" s="8"/>
      <c r="R14" s="8"/>
      <c r="S14" s="36"/>
      <c r="T14" s="27"/>
    </row>
    <row r="15" spans="1:20" x14ac:dyDescent="0.4">
      <c r="A15" s="45"/>
      <c r="B15" s="46" t="s">
        <v>14</v>
      </c>
      <c r="D15" s="47"/>
      <c r="E15" s="48"/>
      <c r="F15" s="49"/>
      <c r="G15" s="49"/>
      <c r="H15" s="50" t="s">
        <v>114</v>
      </c>
      <c r="J15" s="7"/>
      <c r="K15" s="8" t="s">
        <v>27</v>
      </c>
      <c r="L15" s="8"/>
      <c r="M15" s="36">
        <v>2</v>
      </c>
      <c r="N15" s="27" t="s">
        <v>95</v>
      </c>
      <c r="P15" s="7" t="s">
        <v>27</v>
      </c>
      <c r="Q15" s="8"/>
      <c r="R15" s="8"/>
      <c r="S15" s="36"/>
      <c r="T15" s="27"/>
    </row>
    <row r="16" spans="1:20" x14ac:dyDescent="0.4">
      <c r="A16" s="5"/>
      <c r="B16" s="6" t="s">
        <v>15</v>
      </c>
      <c r="D16" s="7"/>
      <c r="E16" s="8" t="s">
        <v>27</v>
      </c>
      <c r="F16" s="16"/>
      <c r="G16" s="16">
        <v>1</v>
      </c>
      <c r="H16" s="9" t="s">
        <v>29</v>
      </c>
      <c r="J16" s="7"/>
      <c r="K16" s="8" t="s">
        <v>27</v>
      </c>
      <c r="L16" s="8"/>
      <c r="M16" s="36">
        <v>3</v>
      </c>
      <c r="N16" s="27" t="s">
        <v>99</v>
      </c>
      <c r="P16" s="7" t="s">
        <v>27</v>
      </c>
      <c r="Q16" s="8"/>
      <c r="R16" s="8"/>
      <c r="S16" s="36"/>
      <c r="T16" s="27"/>
    </row>
    <row r="17" spans="1:20" x14ac:dyDescent="0.4">
      <c r="A17" s="5"/>
      <c r="B17" s="6" t="s">
        <v>16</v>
      </c>
      <c r="D17" s="7" t="s">
        <v>27</v>
      </c>
      <c r="E17" s="8"/>
      <c r="F17" s="16"/>
      <c r="G17" s="16"/>
      <c r="H17" s="9"/>
      <c r="J17" s="7"/>
      <c r="K17" s="8" t="s">
        <v>27</v>
      </c>
      <c r="L17" s="8"/>
      <c r="M17" s="36">
        <v>1</v>
      </c>
      <c r="N17" s="27" t="s">
        <v>91</v>
      </c>
      <c r="P17" s="7" t="s">
        <v>27</v>
      </c>
      <c r="Q17" s="8"/>
      <c r="R17" s="8"/>
      <c r="S17" s="36"/>
      <c r="T17" s="27"/>
    </row>
    <row r="18" spans="1:20" ht="29.15" x14ac:dyDescent="0.4">
      <c r="A18" s="5"/>
      <c r="B18" s="6" t="s">
        <v>17</v>
      </c>
      <c r="D18" s="7" t="s">
        <v>27</v>
      </c>
      <c r="F18" s="16"/>
      <c r="G18" s="16">
        <v>1</v>
      </c>
      <c r="H18" s="9" t="s">
        <v>32</v>
      </c>
      <c r="J18" s="7" t="s">
        <v>27</v>
      </c>
      <c r="K18" s="8"/>
      <c r="L18" s="8"/>
      <c r="M18" s="36"/>
      <c r="N18" s="27"/>
      <c r="P18" s="7" t="s">
        <v>27</v>
      </c>
      <c r="Q18" s="8"/>
      <c r="R18" s="8"/>
      <c r="S18" s="36"/>
      <c r="T18" s="27"/>
    </row>
    <row r="19" spans="1:20" x14ac:dyDescent="0.4">
      <c r="A19" s="5"/>
      <c r="B19" s="6" t="s">
        <v>18</v>
      </c>
      <c r="D19" s="7" t="s">
        <v>27</v>
      </c>
      <c r="E19" s="8"/>
      <c r="F19" s="16"/>
      <c r="G19" s="16"/>
      <c r="H19" s="9"/>
      <c r="J19" s="7" t="s">
        <v>27</v>
      </c>
      <c r="K19" s="8"/>
      <c r="L19" s="8"/>
      <c r="M19" s="36"/>
      <c r="N19" s="27"/>
      <c r="P19" s="7"/>
      <c r="Q19" s="8" t="s">
        <v>27</v>
      </c>
      <c r="R19" s="8"/>
      <c r="S19" s="36">
        <v>1</v>
      </c>
      <c r="T19" s="27" t="s">
        <v>103</v>
      </c>
    </row>
    <row r="20" spans="1:20" x14ac:dyDescent="0.4">
      <c r="A20" s="5"/>
      <c r="B20" s="6"/>
      <c r="D20" s="7"/>
      <c r="E20" s="8"/>
      <c r="F20" s="16"/>
      <c r="G20" s="16"/>
      <c r="H20" s="9"/>
      <c r="J20" s="7"/>
      <c r="K20" s="8"/>
      <c r="L20" s="8"/>
      <c r="M20" s="36"/>
      <c r="N20" s="27"/>
      <c r="P20" s="7"/>
      <c r="Q20" s="8"/>
      <c r="R20" s="8"/>
      <c r="S20" s="36"/>
      <c r="T20" s="27"/>
    </row>
    <row r="21" spans="1:20" x14ac:dyDescent="0.4">
      <c r="A21" s="5"/>
      <c r="B21" s="6" t="s">
        <v>19</v>
      </c>
      <c r="D21" s="7" t="s">
        <v>27</v>
      </c>
      <c r="E21" s="8"/>
      <c r="F21" s="16"/>
      <c r="G21" s="16"/>
      <c r="H21" s="9"/>
      <c r="J21" s="7" t="s">
        <v>27</v>
      </c>
      <c r="K21" s="8"/>
      <c r="L21" s="8"/>
      <c r="M21" s="36"/>
      <c r="N21" s="27"/>
      <c r="P21" s="7" t="s">
        <v>27</v>
      </c>
      <c r="Q21" s="8"/>
      <c r="R21" s="8"/>
      <c r="S21" s="36"/>
      <c r="T21" s="27"/>
    </row>
    <row r="22" spans="1:20" ht="29.15" x14ac:dyDescent="0.4">
      <c r="A22" s="21"/>
      <c r="B22" s="22" t="s">
        <v>20</v>
      </c>
      <c r="D22" s="7"/>
      <c r="E22" s="8"/>
      <c r="F22" s="16" t="s">
        <v>27</v>
      </c>
      <c r="G22" s="16">
        <v>5</v>
      </c>
      <c r="H22" s="9" t="s">
        <v>63</v>
      </c>
      <c r="J22" s="7"/>
      <c r="K22" s="8"/>
      <c r="L22" s="8" t="s">
        <v>27</v>
      </c>
      <c r="M22" s="36">
        <v>6</v>
      </c>
      <c r="N22" s="27" t="s">
        <v>90</v>
      </c>
      <c r="P22" s="7"/>
      <c r="Q22" s="8"/>
      <c r="R22" s="8" t="s">
        <v>27</v>
      </c>
      <c r="S22" s="36">
        <v>2</v>
      </c>
      <c r="T22" s="27" t="s">
        <v>104</v>
      </c>
    </row>
    <row r="23" spans="1:20" x14ac:dyDescent="0.4">
      <c r="A23" s="5"/>
      <c r="B23" s="6" t="s">
        <v>21</v>
      </c>
      <c r="D23" s="7" t="s">
        <v>27</v>
      </c>
      <c r="E23" s="8"/>
      <c r="F23" s="16"/>
      <c r="G23" s="16">
        <v>1</v>
      </c>
      <c r="H23" s="9" t="s">
        <v>39</v>
      </c>
      <c r="J23" s="7" t="s">
        <v>27</v>
      </c>
      <c r="K23" s="8"/>
      <c r="L23" s="8"/>
      <c r="M23" s="36">
        <v>1</v>
      </c>
      <c r="N23" s="27" t="s">
        <v>94</v>
      </c>
      <c r="P23" s="7" t="s">
        <v>27</v>
      </c>
      <c r="Q23" s="8"/>
      <c r="R23" s="8"/>
      <c r="S23" s="36"/>
      <c r="T23" s="27"/>
    </row>
    <row r="24" spans="1:20" x14ac:dyDescent="0.4">
      <c r="A24" s="5"/>
      <c r="B24" s="6" t="s">
        <v>22</v>
      </c>
      <c r="D24" s="5"/>
      <c r="E24" s="8" t="s">
        <v>27</v>
      </c>
      <c r="F24" s="16"/>
      <c r="G24" s="16">
        <v>3</v>
      </c>
      <c r="H24" s="9" t="s">
        <v>40</v>
      </c>
      <c r="J24" s="7" t="s">
        <v>27</v>
      </c>
      <c r="K24" s="8"/>
      <c r="L24" s="8"/>
      <c r="M24" s="36"/>
      <c r="N24" s="27"/>
      <c r="P24" s="7" t="s">
        <v>27</v>
      </c>
      <c r="Q24" s="8"/>
      <c r="R24" s="8"/>
      <c r="S24" s="36"/>
      <c r="T24" s="27"/>
    </row>
    <row r="25" spans="1:20" ht="29.15" x14ac:dyDescent="0.4">
      <c r="A25" s="5"/>
      <c r="B25" s="6" t="s">
        <v>23</v>
      </c>
      <c r="D25" s="7"/>
      <c r="E25" s="8"/>
      <c r="F25" s="16" t="s">
        <v>27</v>
      </c>
      <c r="G25" s="16">
        <v>2</v>
      </c>
      <c r="H25" s="9" t="s">
        <v>28</v>
      </c>
      <c r="J25" s="7"/>
      <c r="K25" s="8"/>
      <c r="L25" s="8" t="s">
        <v>27</v>
      </c>
      <c r="M25" s="36">
        <v>4</v>
      </c>
      <c r="N25" s="27" t="s">
        <v>88</v>
      </c>
      <c r="P25" s="7"/>
      <c r="Q25" s="8" t="s">
        <v>27</v>
      </c>
      <c r="R25" s="8"/>
      <c r="S25" s="36">
        <v>3</v>
      </c>
      <c r="T25" s="27" t="s">
        <v>105</v>
      </c>
    </row>
    <row r="26" spans="1:20" x14ac:dyDescent="0.4">
      <c r="A26" s="5"/>
      <c r="B26" s="6" t="s">
        <v>24</v>
      </c>
      <c r="D26" s="7" t="s">
        <v>27</v>
      </c>
      <c r="E26" s="8"/>
      <c r="F26" s="16"/>
      <c r="G26" s="16"/>
      <c r="H26" s="9"/>
      <c r="J26" s="7" t="s">
        <v>27</v>
      </c>
      <c r="K26" s="8"/>
      <c r="L26" s="8"/>
      <c r="M26" s="36"/>
      <c r="N26" s="27"/>
      <c r="P26" s="7" t="s">
        <v>27</v>
      </c>
      <c r="Q26" s="8"/>
      <c r="R26" s="8"/>
      <c r="S26" s="36"/>
      <c r="T26" s="27"/>
    </row>
    <row r="27" spans="1:20" x14ac:dyDescent="0.4">
      <c r="A27" s="14"/>
      <c r="B27" s="15" t="s">
        <v>25</v>
      </c>
      <c r="D27" s="10" t="s">
        <v>27</v>
      </c>
      <c r="E27" s="11"/>
      <c r="F27" s="17"/>
      <c r="G27" s="17"/>
      <c r="H27" s="12"/>
      <c r="J27" s="10" t="s">
        <v>27</v>
      </c>
      <c r="K27" s="11"/>
      <c r="L27" s="11"/>
      <c r="M27" s="37"/>
      <c r="N27" s="28"/>
      <c r="P27" s="10" t="s">
        <v>27</v>
      </c>
      <c r="Q27" s="11"/>
      <c r="R27" s="11"/>
      <c r="S27" s="37"/>
      <c r="T27" s="28"/>
    </row>
    <row r="28" spans="1:20" s="38" customFormat="1" x14ac:dyDescent="0.4">
      <c r="A28" s="39" t="s">
        <v>112</v>
      </c>
      <c r="D28" s="38">
        <f>COUNTA(D4:D27)</f>
        <v>10</v>
      </c>
      <c r="E28" s="38">
        <f t="shared" ref="E28:F28" si="0">COUNTA(E4:E27)</f>
        <v>8</v>
      </c>
      <c r="F28" s="38">
        <f t="shared" si="0"/>
        <v>2</v>
      </c>
      <c r="G28" s="38">
        <f>SUM(G4:G27)</f>
        <v>25</v>
      </c>
      <c r="J28" s="38">
        <f>COUNTA(J4:J27)</f>
        <v>8</v>
      </c>
      <c r="K28" s="38">
        <f t="shared" ref="K28:L28" si="1">COUNTA(K4:K27)</f>
        <v>7</v>
      </c>
      <c r="L28" s="38">
        <f t="shared" si="1"/>
        <v>3</v>
      </c>
      <c r="M28" s="38">
        <f>SUM(M4:M27)</f>
        <v>34</v>
      </c>
      <c r="P28" s="38">
        <f>COUNTA(P4:P27)</f>
        <v>15</v>
      </c>
      <c r="Q28" s="38">
        <f t="shared" ref="Q28:R28" si="2">COUNTA(Q4:Q27)</f>
        <v>5</v>
      </c>
      <c r="R28" s="38">
        <f t="shared" si="2"/>
        <v>1</v>
      </c>
      <c r="S28" s="38">
        <f>SUM(S4:S27)</f>
        <v>13</v>
      </c>
    </row>
    <row r="30" spans="1:20" ht="58.3" x14ac:dyDescent="0.4">
      <c r="D30" s="33" t="s">
        <v>111</v>
      </c>
      <c r="E30" s="34">
        <f>SUM(G4:G27)/21</f>
        <v>1.1904761904761905</v>
      </c>
      <c r="J30" s="33" t="s">
        <v>111</v>
      </c>
      <c r="K30" s="34">
        <f>SUM(M4:M27)/21</f>
        <v>1.6190476190476191</v>
      </c>
      <c r="P30" s="33" t="s">
        <v>111</v>
      </c>
      <c r="Q30" s="34">
        <f>SUM(S4:S27)/21</f>
        <v>0.61904761904761907</v>
      </c>
    </row>
  </sheetData>
  <mergeCells count="2">
    <mergeCell ref="J2:K2"/>
    <mergeCell ref="D2:E2"/>
  </mergeCells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Groep 1</vt:lpstr>
      <vt:lpstr>Groep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Samson</dc:creator>
  <cp:lastModifiedBy>Arne Samson</cp:lastModifiedBy>
  <cp:lastPrinted>2026-05-15T12:55:32Z</cp:lastPrinted>
  <dcterms:created xsi:type="dcterms:W3CDTF">2015-06-05T18:19:34Z</dcterms:created>
  <dcterms:modified xsi:type="dcterms:W3CDTF">2026-06-02T06:55:45Z</dcterms:modified>
</cp:coreProperties>
</file>